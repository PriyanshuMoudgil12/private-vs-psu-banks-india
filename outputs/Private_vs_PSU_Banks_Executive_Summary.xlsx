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aw Data" sheetId="2" state="visible" r:id="rId4"/>
    <sheet name="Group Averages" sheetId="3" state="visible" r:id="rId5"/>
    <sheet name="FY25 League Tab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<sst xmlns="http://schemas.openxmlformats.org/spreadsheetml/2006/main" count="236" uniqueCount="83">
  <si>
    <t xml:space="preserve">Private vs PSU Banks in India — Strategic Analysis (FY20–FY25)</t>
  </si>
  <si>
    <t xml:space="preserve">6 banks · 6 years · ₹50+ lakh crore of assets. Prepared by Priyanshu Moudgil · BBA · Business Analyst Portfolio.</t>
  </si>
  <si>
    <t xml:space="preserve">The Big Picture (FY25)</t>
  </si>
  <si>
    <t xml:space="preserve">Metric</t>
  </si>
  <si>
    <t xml:space="preserve">Private avg</t>
  </si>
  <si>
    <t xml:space="preserve">PSU avg</t>
  </si>
  <si>
    <t xml:space="preserve">Gap (pp)</t>
  </si>
  <si>
    <t xml:space="preserve">Direction</t>
  </si>
  <si>
    <t xml:space="preserve">Take-away</t>
  </si>
  <si>
    <t xml:space="preserve">ROA (%)</t>
  </si>
  <si>
    <t xml:space="preserve">↑ widening</t>
  </si>
  <si>
    <t xml:space="preserve">Private banks earn ~2× more per ₹ of assets.</t>
  </si>
  <si>
    <t xml:space="preserve">Gross NPA (%)</t>
  </si>
  <si>
    <t xml:space="preserve">↓ narrowing</t>
  </si>
  <si>
    <t xml:space="preserve">PSU NPA clean-up cut excess NPA from 6pp to 1pp.</t>
  </si>
  <si>
    <t xml:space="preserve">NIM (%)</t>
  </si>
  <si>
    <t xml:space="preserve">→ stable</t>
  </si>
  <si>
    <t xml:space="preserve">~90bps structural spread on the lending side.</t>
  </si>
  <si>
    <t xml:space="preserve">CASA (%)</t>
  </si>
  <si>
    <t xml:space="preserve">↓ flipped</t>
  </si>
  <si>
    <t xml:space="preserve">FY25: PSU CASA edges past private for the first time.</t>
  </si>
  <si>
    <t xml:space="preserve">5 Key Findings</t>
  </si>
  <si>
    <t xml:space="preserve">#1</t>
  </si>
  <si>
    <t xml:space="preserve">ROA gap held at ~1 percentage point.</t>
  </si>
  <si>
    <t xml:space="preserve">Private ROA doubled (0.97% → 1.98%). PSU ROA grew 7× from a tiny base (0.16% → 1.12%). The gap is structural.</t>
  </si>
  <si>
    <t xml:space="preserve">#2</t>
  </si>
  <si>
    <t xml:space="preserve">The PSU NPA clean-up is real — and almost over.</t>
  </si>
  <si>
    <t xml:space="preserve">PSU gross NPA fell from 9.92% → 2.68%. Excess vs private fell from 6.04pp to 1.23pp. The easy gains are done.</t>
  </si>
  <si>
    <t xml:space="preserve">#3</t>
  </si>
  <si>
    <t xml:space="preserve">PSUs aren't growth-laggards, they're just smaller.</t>
  </si>
  <si>
    <t xml:space="preserve">PNB loan-book CAGR 18.8%, SBI 12.7% — same range as ICICI/Axis. The 'PSUs are dying' narrative is wrong.</t>
  </si>
  <si>
    <t xml:space="preserve">#4</t>
  </si>
  <si>
    <t xml:space="preserve">The CASA advantage just evaporated.</t>
  </si>
  <si>
    <t xml:space="preserve">Private CASA peaked at 47.4% (FY22) → 38.1% (FY25). In FY25 PSUs (39.6%) actually beat private.</t>
  </si>
  <si>
    <t xml:space="preserve">#5</t>
  </si>
  <si>
    <t xml:space="preserve">NIM: the persistent ~90bps spread.</t>
  </si>
  <si>
    <t xml:space="preserve">Private banks earn ~90bps more on every rupee they lend — pricing power &amp; retail mix, not luck.</t>
  </si>
  <si>
    <t xml:space="preserve">3 Strategic Recommendations for the PSU CEO</t>
  </si>
  <si>
    <t xml:space="preserve">1</t>
  </si>
  <si>
    <t xml:space="preserve">Stop chasing CASA. Chase NIM.</t>
  </si>
  <si>
    <t xml:space="preserve">The CASA war is over and the rate cycle decided it. Shift 5pp of the loan book from corporate to high-yield retail by FY27; stand up a digital-lending JV.</t>
  </si>
  <si>
    <t xml:space="preserve">2</t>
  </si>
  <si>
    <t xml:space="preserve">Defend NPA gains by re-engineering underwriting, not lending less.</t>
  </si>
  <si>
    <t xml:space="preserve">IBC won the first NPA war. Win the second with data: bureau scores, GST flows, real-time monitoring. Mandate model-driven decisions for loans under ₹5cr.</t>
  </si>
  <si>
    <t xml:space="preserve">3</t>
  </si>
  <si>
    <t xml:space="preserve">Become the bank for Bharat's middle 60%.</t>
  </si>
  <si>
    <t xml:space="preserve">600M middle-income, semi-urban, GST-registered SMBs are under-served. PSUs have the trust and branches — close the digital UX gap. Target ₹5 lakh crore new SMB advances by FY28.</t>
  </si>
  <si>
    <t xml:space="preserve">Bank-year master dataset (FY20–FY25)</t>
  </si>
  <si>
    <t xml:space="preserve">Absolute values in ₹ crore. Ratios in percent. Source: each bank's annual report + investor presentations + Equitymaster + verified via May 2026 web search.</t>
  </si>
  <si>
    <t xml:space="preserve">bank_name</t>
  </si>
  <si>
    <t xml:space="preserve">bank_type</t>
  </si>
  <si>
    <t xml:space="preserve">financial_year</t>
  </si>
  <si>
    <t xml:space="preserve">total_assets_cr</t>
  </si>
  <si>
    <t xml:space="preserve">deposits_cr</t>
  </si>
  <si>
    <t xml:space="preserve">advances_cr</t>
  </si>
  <si>
    <t xml:space="preserve">net_profit_cr</t>
  </si>
  <si>
    <t xml:space="preserve">gross_npa_pct</t>
  </si>
  <si>
    <t xml:space="preserve">roa_pct</t>
  </si>
  <si>
    <t xml:space="preserve">nim_pct</t>
  </si>
  <si>
    <t xml:space="preserve">casa_pct</t>
  </si>
  <si>
    <t xml:space="preserve">HDFC Bank</t>
  </si>
  <si>
    <t xml:space="preserve">Private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</si>
  <si>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</si>
  <si>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</si>
  <si>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</si>
  <si>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</si>
  <si>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</si>
  <si>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</si>
  <si>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ICICI Bank</t>
  </si>
  <si>
    <t xml:space="preserve">Axis Bank</t>
  </si>
  <si>
    <t xml:space="preserve">SBI</t>
  </si>
  <si>
    <t xml:space="preserve">PSU</t>
  </si>
  <si>
    <t xml:space="preserve">PNB</t>
  </si>
  <si>
    <t xml:space="preserve">Bank of Baroda</t>
  </si>
  <si>
    <t xml:space="preserve">Year-by-year averages — Private vs PSU</t>
  </si>
  <si>
    <t xml:space="preserve">Year</t>
  </si>
  <si>
    <t xml:space="preserve">FY25 — All 6 banks ranked best-to-worst</t>
  </si>
  <si>
    <t xml:space="preserve">Rank</t>
  </si>
  <si>
    <t xml:space="preserve">Bank</t>
  </si>
  <si>
    <t xml:space="preserve">Type</t>
  </si>
  <si>
    <t xml:space="preserve">Total assets (₹cr)</t>
  </si>
  <si>
    <t xml:space="preserve">Net profit (₹cr)</t>
  </si>
  <si>
    <t xml:space="preserve">Note: SBI ties HDFC on ranks — only PSU competitive across every dimension. PNB still last.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</si>
</sst>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D9EAD3"/>
        <bgColor rgb="FFDCE6F1"/>
      </patternFill>
    </fill>
    <fill>
      <patternFill patternType="solid">
        <fgColor rgb="FFDCE6F1"/>
        <bgColor rgb="FFD9EAD3"/>
      </patternFill>
    </fill>
    <fill>
      <patternFill patternType="solid">
        <fgColor rgb="FFF4CCCC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26.85" hidden="false" customHeight="false" outlineLevel="0" collapsed="false">
      <c r="A6" s="5" t="s">
        <v>9</v>
      </c>
      <c r="B6" s="6" t="n">
        <f aca="false">AVERAGEIFS('Raw Data'!I:I,'Raw Data'!B:B,"Private",'Raw Data'!C:C,"FY25")</f>
        <v>1.98333333333333</v>
      </c>
      <c r="C6" s="6" t="n">
        <f aca="false">AVERAGEIFS('Raw Data'!I:I,'Raw Data'!B:B,"PSU",'Raw Data'!C:C,"FY25")</f>
        <v>1.12</v>
      </c>
      <c r="D6" s="6" t="n">
        <f aca="false">B6-C6</f>
        <v>0.863333333333333</v>
      </c>
      <c r="E6" s="5" t="s">
        <v>10</v>
      </c>
      <c r="F6" s="5" t="s">
        <v>11</v>
      </c>
    </row>
    <row r="7" customFormat="false" ht="52.2" hidden="false" customHeight="false" outlineLevel="0" collapsed="false">
      <c r="A7" s="5" t="s">
        <v>12</v>
      </c>
      <c r="B7" s="6" t="n">
        <f aca="false">AVERAGEIFS('Raw Data'!H:H,'Raw Data'!B:B,"Private",'Raw Data'!C:C,"FY25")</f>
        <v>1.44333333333333</v>
      </c>
      <c r="C7" s="6" t="n">
        <f aca="false">AVERAGEIFS('Raw Data'!H:H,'Raw Data'!B:B,"PSU",'Raw Data'!C:C,"FY25")</f>
        <v>2.67666666666667</v>
      </c>
      <c r="D7" s="6" t="n">
        <f aca="false">C7-B7</f>
        <v>1.23333333333333</v>
      </c>
      <c r="E7" s="5" t="s">
        <v>13</v>
      </c>
      <c r="F7" s="5" t="s">
        <v>14</v>
      </c>
    </row>
    <row r="8" customFormat="false" ht="26.85" hidden="false" customHeight="false" outlineLevel="0" collapsed="false">
      <c r="A8" s="5" t="s">
        <v>15</v>
      </c>
      <c r="B8" s="6" t="n">
        <f aca="false">AVERAGEIFS('Raw Data'!J:J,'Raw Data'!B:B,"Private",'Raw Data'!C:C,"FY25")</f>
        <v>4.09333333333333</v>
      </c>
      <c r="C8" s="6" t="n">
        <f aca="false">AVERAGEIFS('Raw Data'!J:J,'Raw Data'!B:B,"PSU",'Raw Data'!C:C,"FY25")</f>
        <v>3.01333333333333</v>
      </c>
      <c r="D8" s="6" t="n">
        <f aca="false">B8-C8</f>
        <v>1.08</v>
      </c>
      <c r="E8" s="5" t="s">
        <v>16</v>
      </c>
      <c r="F8" s="5" t="s">
        <v>17</v>
      </c>
    </row>
    <row r="9" customFormat="false" ht="26.85" hidden="false" customHeight="false" outlineLevel="0" collapsed="false">
      <c r="A9" s="5" t="s">
        <v>18</v>
      </c>
      <c r="B9" s="6" t="n">
        <f aca="false">AVERAGEIFS('Raw Data'!K:K,'Raw Data'!B:B,"Private",'Raw Data'!C:C,"FY25")</f>
        <v>38.1</v>
      </c>
      <c r="C9" s="6" t="n">
        <f aca="false">AVERAGEIFS('Raw Data'!K:K,'Raw Data'!B:B,"PSU",'Raw Data'!C:C,"FY25")</f>
        <v>39.5733333333333</v>
      </c>
      <c r="D9" s="6" t="n">
        <f aca="false">B9-C9</f>
        <v>-1.47333333333333</v>
      </c>
      <c r="E9" s="5" t="s">
        <v>19</v>
      </c>
      <c r="F9" s="5" t="s">
        <v>20</v>
      </c>
    </row>
    <row r="11" customFormat="false" ht="15" hidden="false" customHeight="false" outlineLevel="0" collapsed="false">
      <c r="A11" s="3" t="s">
        <v>21</v>
      </c>
      <c r="B11" s="3"/>
      <c r="C11" s="3"/>
      <c r="D11" s="3"/>
      <c r="E11" s="3"/>
      <c r="F11" s="3"/>
    </row>
    <row r="12" customFormat="false" ht="26.85" hidden="false" customHeight="true" outlineLevel="0" collapsed="false">
      <c r="A12" s="7" t="s">
        <v>22</v>
      </c>
      <c r="B12" s="7" t="s">
        <v>23</v>
      </c>
      <c r="C12" s="5" t="s">
        <v>24</v>
      </c>
      <c r="D12" s="5"/>
      <c r="E12" s="5"/>
      <c r="F12" s="5"/>
    </row>
    <row r="13" customFormat="false" ht="26.85" hidden="false" customHeight="true" outlineLevel="0" collapsed="false">
      <c r="A13" s="7" t="s">
        <v>25</v>
      </c>
      <c r="B13" s="7" t="s">
        <v>26</v>
      </c>
      <c r="C13" s="5" t="s">
        <v>27</v>
      </c>
      <c r="D13" s="5"/>
      <c r="E13" s="5"/>
      <c r="F13" s="5"/>
    </row>
    <row r="14" customFormat="false" ht="26.85" hidden="false" customHeight="true" outlineLevel="0" collapsed="false">
      <c r="A14" s="7" t="s">
        <v>28</v>
      </c>
      <c r="B14" s="7" t="s">
        <v>29</v>
      </c>
      <c r="C14" s="5" t="s">
        <v>30</v>
      </c>
      <c r="D14" s="5"/>
      <c r="E14" s="5"/>
      <c r="F14" s="5"/>
    </row>
    <row r="15" customFormat="false" ht="26.85" hidden="false" customHeight="true" outlineLevel="0" collapsed="false">
      <c r="A15" s="7" t="s">
        <v>31</v>
      </c>
      <c r="B15" s="7" t="s">
        <v>32</v>
      </c>
      <c r="C15" s="5" t="s">
        <v>33</v>
      </c>
      <c r="D15" s="5"/>
      <c r="E15" s="5"/>
      <c r="F15" s="5"/>
    </row>
    <row r="16" customFormat="false" ht="26.85" hidden="false" customHeight="true" outlineLevel="0" collapsed="false">
      <c r="A16" s="7" t="s">
        <v>34</v>
      </c>
      <c r="B16" s="7" t="s">
        <v>35</v>
      </c>
      <c r="C16" s="5" t="s">
        <v>36</v>
      </c>
      <c r="D16" s="5"/>
      <c r="E16" s="5"/>
      <c r="F16" s="5"/>
    </row>
    <row r="18" customFormat="false" ht="15" hidden="false" customHeight="false" outlineLevel="0" collapsed="false">
      <c r="A18" s="8" t="s">
        <v>37</v>
      </c>
      <c r="B18" s="8"/>
      <c r="C18" s="8"/>
      <c r="D18" s="8"/>
      <c r="E18" s="8"/>
      <c r="F18" s="8"/>
    </row>
    <row r="19" customFormat="false" ht="36" hidden="false" customHeight="true" outlineLevel="0" collapsed="false">
      <c r="A19" s="7" t="s">
        <v>38</v>
      </c>
      <c r="B19" s="7" t="s">
        <v>39</v>
      </c>
      <c r="C19" s="5" t="s">
        <v>40</v>
      </c>
      <c r="D19" s="5"/>
      <c r="E19" s="5"/>
      <c r="F19" s="5"/>
    </row>
    <row r="20" customFormat="false" ht="36" hidden="false" customHeight="true" outlineLevel="0" collapsed="false">
      <c r="A20" s="7" t="s">
        <v>41</v>
      </c>
      <c r="B20" s="7" t="s">
        <v>42</v>
      </c>
      <c r="C20" s="5" t="s">
        <v>43</v>
      </c>
      <c r="D20" s="5"/>
      <c r="E20" s="5"/>
      <c r="F20" s="5"/>
    </row>
    <row r="21" customFormat="false" ht="36" hidden="false" customHeight="true" outlineLevel="0" collapsed="false">
      <c r="A21" s="7" t="s">
        <v>44</v>
      </c>
      <c r="B21" s="7" t="s">
        <v>45</v>
      </c>
      <c r="C21" s="5" t="s">
        <v>46</v>
      </c>
      <c r="D21" s="5"/>
      <c r="E21" s="5"/>
      <c r="F21" s="5"/>
    </row>
  </sheetData>
  <mergeCells count="13">
    <mergeCell ref="A1:F1"/>
    <mergeCell ref="A2:F2"/>
    <mergeCell ref="A4:F4"/>
    <mergeCell ref="A11:F11"/>
    <mergeCell ref="C12:F12"/>
    <mergeCell ref="C13:F13"/>
    <mergeCell ref="C14:F14"/>
    <mergeCell ref="C15:F15"/>
    <mergeCell ref="C16:F16"/>
    <mergeCell ref="A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6" min="5" style="0" width="13"/>
    <col collapsed="false" customWidth="true" hidden="false" outlineLevel="0" max="8" min="7" style="0" width="15"/>
    <col collapsed="false" customWidth="true" hidden="false" outlineLevel="0" max="11" min="9" style="0" width="10"/>
  </cols>
  <sheetData>
    <row r="1" customFormat="false" ht="19.7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4" t="s">
        <v>57</v>
      </c>
      <c r="J4" s="4" t="s">
        <v>58</v>
      </c>
      <c r="K4" s="4" t="s">
        <v>59</v>
      </c>
    </row>
    <row r="5" customFormat="false" ht="15" hidden="false" customHeight="false" outlineLevel="0" collapsed="false">
      <c r="A5" s="9" t="s">
        <v>60</v>
      </c>
      <c r="B5" s="9" t="s">
        <v>61</v>
      </c>
      <c r="C5" s="9" t="s">
        <v>62</v>
      </c>
      <c r="D5" s="10" t="n">
        <v>1530511</v>
      </c>
      <c r="E5" s="10" t="n">
        <v>1147502</v>
      </c>
      <c r="F5" s="10" t="n">
        <v>993703</v>
      </c>
      <c r="G5" s="10" t="n">
        <v>26257</v>
      </c>
      <c r="H5" s="11" t="n">
        <v>1.26</v>
      </c>
      <c r="I5" s="11" t="n">
        <v>1.89</v>
      </c>
      <c r="J5" s="11" t="n">
        <v>4.2</v>
      </c>
      <c r="K5" s="11" t="n">
        <v>42.2</v>
      </c>
    </row>
    <row r="6" customFormat="false" ht="15" hidden="false" customHeight="false" outlineLevel="0" collapsed="false">
      <c r="A6" s="9" t="s">
        <v>60</v>
      </c>
      <c r="B6" s="9" t="s">
        <v>61</v>
      </c>
      <c r="C6" s="9" t="s">
        <v>63</v>
      </c>
      <c r="D6" s="10" t="n">
        <v>1746870</v>
      </c>
      <c r="E6" s="10" t="n">
        <v>1335060</v>
      </c>
      <c r="F6" s="10" t="n">
        <v>1132837</v>
      </c>
      <c r="G6" s="10" t="n">
        <v>31116</v>
      </c>
      <c r="H6" s="11" t="n">
        <v>1.32</v>
      </c>
      <c r="I6" s="11" t="n">
        <v>1.97</v>
      </c>
      <c r="J6" s="11" t="n">
        <v>4.1</v>
      </c>
      <c r="K6" s="11" t="n">
        <v>46.1</v>
      </c>
    </row>
    <row r="7" customFormat="false" ht="15" hidden="false" customHeight="false" outlineLevel="0" collapsed="false">
      <c r="A7" s="9" t="s">
        <v>60</v>
      </c>
      <c r="B7" s="9" t="s">
        <v>61</v>
      </c>
      <c r="C7" s="9" t="s">
        <v>64</v>
      </c>
      <c r="D7" s="10" t="n">
        <v>2068535</v>
      </c>
      <c r="E7" s="10" t="n">
        <v>1559217</v>
      </c>
      <c r="F7" s="10" t="n">
        <v>1368821</v>
      </c>
      <c r="G7" s="10" t="n">
        <v>36961</v>
      </c>
      <c r="H7" s="11" t="n">
        <v>1.17</v>
      </c>
      <c r="I7" s="11" t="n">
        <v>2.03</v>
      </c>
      <c r="J7" s="11" t="n">
        <v>4</v>
      </c>
      <c r="K7" s="11" t="n">
        <v>48.2</v>
      </c>
    </row>
    <row r="8" customFormat="false" ht="15" hidden="false" customHeight="false" outlineLevel="0" collapsed="false">
      <c r="A8" s="9" t="s">
        <v>60</v>
      </c>
      <c r="B8" s="9" t="s">
        <v>61</v>
      </c>
      <c r="C8" s="9" t="s">
        <v>65</v>
      </c>
      <c r="D8" s="10" t="n">
        <v>2466081</v>
      </c>
      <c r="E8" s="10" t="n">
        <v>1883394</v>
      </c>
      <c r="F8" s="10" t="n">
        <v>1600586</v>
      </c>
      <c r="G8" s="10" t="n">
        <v>44109</v>
      </c>
      <c r="H8" s="11" t="n">
        <v>1.12</v>
      </c>
      <c r="I8" s="11" t="n">
        <v>2.07</v>
      </c>
      <c r="J8" s="11" t="n">
        <v>4.1</v>
      </c>
      <c r="K8" s="11" t="n">
        <v>44.4</v>
      </c>
    </row>
    <row r="9" customFormat="false" ht="15" hidden="false" customHeight="false" outlineLevel="0" collapsed="false">
      <c r="A9" s="9" t="s">
        <v>60</v>
      </c>
      <c r="B9" s="9" t="s">
        <v>61</v>
      </c>
      <c r="C9" s="9" t="s">
        <v>66</v>
      </c>
      <c r="D9" s="10" t="n">
        <v>4030190</v>
      </c>
      <c r="E9" s="10" t="n">
        <v>2376888</v>
      </c>
      <c r="F9" s="10" t="n">
        <v>2571920</v>
      </c>
      <c r="G9" s="10" t="n">
        <v>64062</v>
      </c>
      <c r="H9" s="11" t="n">
        <v>1.24</v>
      </c>
      <c r="I9" s="11" t="n">
        <v>1.59</v>
      </c>
      <c r="J9" s="11" t="n">
        <v>3.6</v>
      </c>
      <c r="K9" s="11" t="n">
        <v>38.2</v>
      </c>
    </row>
    <row r="10" customFormat="false" ht="15" hidden="false" customHeight="false" outlineLevel="0" collapsed="false">
      <c r="A10" s="9" t="s">
        <v>60</v>
      </c>
      <c r="B10" s="9" t="s">
        <v>61</v>
      </c>
      <c r="C10" s="9" t="s">
        <v>67</v>
      </c>
      <c r="D10" s="10" t="n">
        <v>4392420</v>
      </c>
      <c r="E10" s="10" t="n">
        <v>2710900</v>
      </c>
      <c r="F10" s="10" t="n">
        <v>2724940</v>
      </c>
      <c r="G10" s="10" t="n">
        <v>70792</v>
      </c>
      <c r="H10" s="11" t="n">
        <v>1.33</v>
      </c>
      <c r="I10" s="11" t="n">
        <v>1.61</v>
      </c>
      <c r="J10" s="11" t="n">
        <v>3.9</v>
      </c>
      <c r="K10" s="11" t="n">
        <v>34.9</v>
      </c>
    </row>
    <row r="11" customFormat="false" ht="15" hidden="false" customHeight="false" outlineLevel="0" collapsed="false">
      <c r="A11" s="9" t="s">
        <v>68</v>
      </c>
      <c r="B11" s="9" t="s">
        <v>61</v>
      </c>
      <c r="C11" s="9" t="s">
        <v>62</v>
      </c>
      <c r="D11" s="10" t="n">
        <v>1098365</v>
      </c>
      <c r="E11" s="10" t="n">
        <v>770968</v>
      </c>
      <c r="F11" s="10" t="n">
        <v>645289</v>
      </c>
      <c r="G11" s="10" t="n">
        <v>7931</v>
      </c>
      <c r="H11" s="11" t="n">
        <v>5.53</v>
      </c>
      <c r="I11" s="11" t="n">
        <v>0.81</v>
      </c>
      <c r="J11" s="11" t="n">
        <v>3.73</v>
      </c>
      <c r="K11" s="11" t="n">
        <v>45.1</v>
      </c>
    </row>
    <row r="12" customFormat="false" ht="15" hidden="false" customHeight="false" outlineLevel="0" collapsed="false">
      <c r="A12" s="9" t="s">
        <v>68</v>
      </c>
      <c r="B12" s="9" t="s">
        <v>61</v>
      </c>
      <c r="C12" s="9" t="s">
        <v>63</v>
      </c>
      <c r="D12" s="10" t="n">
        <v>1230433</v>
      </c>
      <c r="E12" s="10" t="n">
        <v>932522</v>
      </c>
      <c r="F12" s="10" t="n">
        <v>733729</v>
      </c>
      <c r="G12" s="10" t="n">
        <v>16193</v>
      </c>
      <c r="H12" s="11" t="n">
        <v>4.96</v>
      </c>
      <c r="I12" s="11" t="n">
        <v>1.42</v>
      </c>
      <c r="J12" s="11" t="n">
        <v>3.69</v>
      </c>
      <c r="K12" s="11" t="n">
        <v>46.3</v>
      </c>
    </row>
    <row r="13" customFormat="false" ht="15" hidden="false" customHeight="false" outlineLevel="0" collapsed="false">
      <c r="A13" s="9" t="s">
        <v>68</v>
      </c>
      <c r="B13" s="9" t="s">
        <v>61</v>
      </c>
      <c r="C13" s="9" t="s">
        <v>64</v>
      </c>
      <c r="D13" s="10" t="n">
        <v>1411297</v>
      </c>
      <c r="E13" s="10" t="n">
        <v>1064571</v>
      </c>
      <c r="F13" s="10" t="n">
        <v>859020</v>
      </c>
      <c r="G13" s="10" t="n">
        <v>23339</v>
      </c>
      <c r="H13" s="11" t="n">
        <v>3.6</v>
      </c>
      <c r="I13" s="11" t="n">
        <v>1.84</v>
      </c>
      <c r="J13" s="11" t="n">
        <v>3.96</v>
      </c>
      <c r="K13" s="11" t="n">
        <v>48.9</v>
      </c>
    </row>
    <row r="14" customFormat="false" ht="15" hidden="false" customHeight="false" outlineLevel="0" collapsed="false">
      <c r="A14" s="9" t="s">
        <v>68</v>
      </c>
      <c r="B14" s="9" t="s">
        <v>61</v>
      </c>
      <c r="C14" s="9" t="s">
        <v>65</v>
      </c>
      <c r="D14" s="10" t="n">
        <v>1584207</v>
      </c>
      <c r="E14" s="10" t="n">
        <v>1180840</v>
      </c>
      <c r="F14" s="10" t="n">
        <v>1019638</v>
      </c>
      <c r="G14" s="10" t="n">
        <v>31896</v>
      </c>
      <c r="H14" s="11" t="n">
        <v>2.81</v>
      </c>
      <c r="I14" s="11" t="n">
        <v>2.13</v>
      </c>
      <c r="J14" s="11" t="n">
        <v>4.48</v>
      </c>
      <c r="K14" s="11" t="n">
        <v>45.8</v>
      </c>
    </row>
    <row r="15" customFormat="false" ht="15" hidden="false" customHeight="false" outlineLevel="0" collapsed="false">
      <c r="A15" s="9" t="s">
        <v>68</v>
      </c>
      <c r="B15" s="9" t="s">
        <v>61</v>
      </c>
      <c r="C15" s="9" t="s">
        <v>66</v>
      </c>
      <c r="D15" s="10" t="n">
        <v>1729021</v>
      </c>
      <c r="E15" s="10" t="n">
        <v>1412825</v>
      </c>
      <c r="F15" s="10" t="n">
        <v>1184406</v>
      </c>
      <c r="G15" s="10" t="n">
        <v>40888</v>
      </c>
      <c r="H15" s="11" t="n">
        <v>2.3</v>
      </c>
      <c r="I15" s="11" t="n">
        <v>2.37</v>
      </c>
      <c r="J15" s="11" t="n">
        <v>4.1</v>
      </c>
      <c r="K15" s="11" t="n">
        <v>42</v>
      </c>
    </row>
    <row r="16" customFormat="false" ht="15" hidden="false" customHeight="false" outlineLevel="0" collapsed="false">
      <c r="A16" s="9" t="s">
        <v>68</v>
      </c>
      <c r="B16" s="9" t="s">
        <v>61</v>
      </c>
      <c r="C16" s="9" t="s">
        <v>67</v>
      </c>
      <c r="D16" s="10" t="n">
        <v>1918233</v>
      </c>
      <c r="E16" s="10" t="n">
        <v>1610348</v>
      </c>
      <c r="F16" s="10" t="n">
        <v>1341766</v>
      </c>
      <c r="G16" s="10" t="n">
        <v>47227</v>
      </c>
      <c r="H16" s="11" t="n">
        <v>1.7</v>
      </c>
      <c r="I16" s="11" t="n">
        <v>2.46</v>
      </c>
      <c r="J16" s="11" t="n">
        <v>4.4</v>
      </c>
      <c r="K16" s="11" t="n">
        <v>38.4</v>
      </c>
    </row>
    <row r="17" customFormat="false" ht="15" hidden="false" customHeight="false" outlineLevel="0" collapsed="false">
      <c r="A17" s="9" t="s">
        <v>69</v>
      </c>
      <c r="B17" s="9" t="s">
        <v>61</v>
      </c>
      <c r="C17" s="9" t="s">
        <v>62</v>
      </c>
      <c r="D17" s="10" t="n">
        <v>915166</v>
      </c>
      <c r="E17" s="10" t="n">
        <v>640105</v>
      </c>
      <c r="F17" s="10" t="n">
        <v>571424</v>
      </c>
      <c r="G17" s="10" t="n">
        <v>1627</v>
      </c>
      <c r="H17" s="11" t="n">
        <v>4.86</v>
      </c>
      <c r="I17" s="11" t="n">
        <v>0.2</v>
      </c>
      <c r="J17" s="11" t="n">
        <v>3.51</v>
      </c>
      <c r="K17" s="11" t="n">
        <v>41.2</v>
      </c>
    </row>
    <row r="18" customFormat="false" ht="15" hidden="false" customHeight="false" outlineLevel="0" collapsed="false">
      <c r="A18" s="9" t="s">
        <v>69</v>
      </c>
      <c r="B18" s="9" t="s">
        <v>61</v>
      </c>
      <c r="C18" s="9" t="s">
        <v>63</v>
      </c>
      <c r="D18" s="10" t="n">
        <v>996118</v>
      </c>
      <c r="E18" s="10" t="n">
        <v>707306</v>
      </c>
      <c r="F18" s="10" t="n">
        <v>623720</v>
      </c>
      <c r="G18" s="10" t="n">
        <v>6588</v>
      </c>
      <c r="H18" s="11" t="n">
        <v>3.7</v>
      </c>
      <c r="I18" s="11" t="n">
        <v>0.7</v>
      </c>
      <c r="J18" s="11" t="n">
        <v>3.53</v>
      </c>
      <c r="K18" s="11" t="n">
        <v>45</v>
      </c>
    </row>
    <row r="19" customFormat="false" ht="15" hidden="false" customHeight="false" outlineLevel="0" collapsed="false">
      <c r="A19" s="9" t="s">
        <v>69</v>
      </c>
      <c r="B19" s="9" t="s">
        <v>61</v>
      </c>
      <c r="C19" s="9" t="s">
        <v>64</v>
      </c>
      <c r="D19" s="10" t="n">
        <v>1175178</v>
      </c>
      <c r="E19" s="10" t="n">
        <v>821721</v>
      </c>
      <c r="F19" s="10" t="n">
        <v>707696</v>
      </c>
      <c r="G19" s="10" t="n">
        <v>13025</v>
      </c>
      <c r="H19" s="11" t="n">
        <v>2.82</v>
      </c>
      <c r="I19" s="11" t="n">
        <v>1.21</v>
      </c>
      <c r="J19" s="11" t="n">
        <v>3.47</v>
      </c>
      <c r="K19" s="11" t="n">
        <v>45</v>
      </c>
    </row>
    <row r="20" customFormat="false" ht="15" hidden="false" customHeight="false" outlineLevel="0" collapsed="false">
      <c r="A20" s="9" t="s">
        <v>69</v>
      </c>
      <c r="B20" s="9" t="s">
        <v>61</v>
      </c>
      <c r="C20" s="9" t="s">
        <v>65</v>
      </c>
      <c r="D20" s="10" t="n">
        <v>1317326</v>
      </c>
      <c r="E20" s="10" t="n">
        <v>946945</v>
      </c>
      <c r="F20" s="10" t="n">
        <v>845303</v>
      </c>
      <c r="G20" s="10" t="n">
        <v>9580</v>
      </c>
      <c r="H20" s="11" t="n">
        <v>2.02</v>
      </c>
      <c r="I20" s="11" t="n">
        <v>0.81</v>
      </c>
      <c r="J20" s="11" t="n">
        <v>4.02</v>
      </c>
      <c r="K20" s="11" t="n">
        <v>47</v>
      </c>
    </row>
    <row r="21" customFormat="false" ht="15" hidden="false" customHeight="false" outlineLevel="0" collapsed="false">
      <c r="A21" s="9" t="s">
        <v>69</v>
      </c>
      <c r="B21" s="9" t="s">
        <v>61</v>
      </c>
      <c r="C21" s="9" t="s">
        <v>66</v>
      </c>
      <c r="D21" s="10" t="n">
        <v>1477209</v>
      </c>
      <c r="E21" s="10" t="n">
        <v>1068641</v>
      </c>
      <c r="F21" s="10" t="n">
        <v>965068</v>
      </c>
      <c r="G21" s="10" t="n">
        <v>26386</v>
      </c>
      <c r="H21" s="11" t="n">
        <v>1.5</v>
      </c>
      <c r="I21" s="11" t="n">
        <v>1.83</v>
      </c>
      <c r="J21" s="11" t="n">
        <v>3.9</v>
      </c>
      <c r="K21" s="11" t="n">
        <v>42</v>
      </c>
    </row>
    <row r="22" customFormat="false" ht="15" hidden="false" customHeight="false" outlineLevel="0" collapsed="false">
      <c r="A22" s="9" t="s">
        <v>69</v>
      </c>
      <c r="B22" s="9" t="s">
        <v>61</v>
      </c>
      <c r="C22" s="9" t="s">
        <v>67</v>
      </c>
      <c r="D22" s="10" t="n">
        <v>1610327</v>
      </c>
      <c r="E22" s="10" t="n">
        <v>1172952</v>
      </c>
      <c r="F22" s="10" t="n">
        <v>1040810</v>
      </c>
      <c r="G22" s="10" t="n">
        <v>28055</v>
      </c>
      <c r="H22" s="11" t="n">
        <v>1.3</v>
      </c>
      <c r="I22" s="11" t="n">
        <v>1.88</v>
      </c>
      <c r="J22" s="11" t="n">
        <v>3.98</v>
      </c>
      <c r="K22" s="11" t="n">
        <v>41</v>
      </c>
    </row>
    <row r="23" customFormat="false" ht="15" hidden="false" customHeight="false" outlineLevel="0" collapsed="false">
      <c r="A23" s="12" t="s">
        <v>70</v>
      </c>
      <c r="B23" s="12" t="s">
        <v>71</v>
      </c>
      <c r="C23" s="12" t="s">
        <v>62</v>
      </c>
      <c r="D23" s="13" t="n">
        <v>3951393</v>
      </c>
      <c r="E23" s="13" t="n">
        <v>3241621</v>
      </c>
      <c r="F23" s="13" t="n">
        <v>2325290</v>
      </c>
      <c r="G23" s="13" t="n">
        <v>14488</v>
      </c>
      <c r="H23" s="14" t="n">
        <v>6.15</v>
      </c>
      <c r="I23" s="14" t="n">
        <v>0.38</v>
      </c>
      <c r="J23" s="14" t="n">
        <v>3.19</v>
      </c>
      <c r="K23" s="14" t="n">
        <v>45.2</v>
      </c>
    </row>
    <row r="24" customFormat="false" ht="15" hidden="false" customHeight="false" outlineLevel="0" collapsed="false">
      <c r="A24" s="12" t="s">
        <v>70</v>
      </c>
      <c r="B24" s="12" t="s">
        <v>71</v>
      </c>
      <c r="C24" s="12" t="s">
        <v>63</v>
      </c>
      <c r="D24" s="13" t="n">
        <v>4534430</v>
      </c>
      <c r="E24" s="13" t="n">
        <v>3681277</v>
      </c>
      <c r="F24" s="13" t="n">
        <v>2449498</v>
      </c>
      <c r="G24" s="13" t="n">
        <v>20410</v>
      </c>
      <c r="H24" s="14" t="n">
        <v>4.98</v>
      </c>
      <c r="I24" s="14" t="n">
        <v>0.48</v>
      </c>
      <c r="J24" s="14" t="n">
        <v>3.11</v>
      </c>
      <c r="K24" s="14" t="n">
        <v>46.1</v>
      </c>
    </row>
    <row r="25" customFormat="false" ht="15" hidden="false" customHeight="false" outlineLevel="0" collapsed="false">
      <c r="A25" s="12" t="s">
        <v>70</v>
      </c>
      <c r="B25" s="12" t="s">
        <v>71</v>
      </c>
      <c r="C25" s="12" t="s">
        <v>64</v>
      </c>
      <c r="D25" s="13" t="n">
        <v>4987597</v>
      </c>
      <c r="E25" s="13" t="n">
        <v>4051534</v>
      </c>
      <c r="F25" s="13" t="n">
        <v>2733966</v>
      </c>
      <c r="G25" s="13" t="n">
        <v>31676</v>
      </c>
      <c r="H25" s="14" t="n">
        <v>3.97</v>
      </c>
      <c r="I25" s="14" t="n">
        <v>0.67</v>
      </c>
      <c r="J25" s="14" t="n">
        <v>3.12</v>
      </c>
      <c r="K25" s="14" t="n">
        <v>45.3</v>
      </c>
    </row>
    <row r="26" customFormat="false" ht="15" hidden="false" customHeight="false" outlineLevel="0" collapsed="false">
      <c r="A26" s="12" t="s">
        <v>70</v>
      </c>
      <c r="B26" s="12" t="s">
        <v>71</v>
      </c>
      <c r="C26" s="12" t="s">
        <v>65</v>
      </c>
      <c r="D26" s="13" t="n">
        <v>5516979</v>
      </c>
      <c r="E26" s="13" t="n">
        <v>4423778</v>
      </c>
      <c r="F26" s="13" t="n">
        <v>3199269</v>
      </c>
      <c r="G26" s="13" t="n">
        <v>50232</v>
      </c>
      <c r="H26" s="14" t="n">
        <v>2.78</v>
      </c>
      <c r="I26" s="14" t="n">
        <v>0.96</v>
      </c>
      <c r="J26" s="14" t="n">
        <v>3.37</v>
      </c>
      <c r="K26" s="14" t="n">
        <v>43.8</v>
      </c>
    </row>
    <row r="27" customFormat="false" ht="15" hidden="false" customHeight="false" outlineLevel="0" collapsed="false">
      <c r="A27" s="12" t="s">
        <v>70</v>
      </c>
      <c r="B27" s="12" t="s">
        <v>71</v>
      </c>
      <c r="C27" s="12" t="s">
        <v>66</v>
      </c>
      <c r="D27" s="13" t="n">
        <v>6165707</v>
      </c>
      <c r="E27" s="13" t="n">
        <v>4916077</v>
      </c>
      <c r="F27" s="13" t="n">
        <v>3767535</v>
      </c>
      <c r="G27" s="13" t="n">
        <v>61077</v>
      </c>
      <c r="H27" s="14" t="n">
        <v>2.24</v>
      </c>
      <c r="I27" s="14" t="n">
        <v>1.04</v>
      </c>
      <c r="J27" s="14" t="n">
        <v>3.28</v>
      </c>
      <c r="K27" s="14" t="n">
        <v>41.1</v>
      </c>
    </row>
    <row r="28" customFormat="false" ht="15" hidden="false" customHeight="false" outlineLevel="0" collapsed="false">
      <c r="A28" s="12" t="s">
        <v>70</v>
      </c>
      <c r="B28" s="12" t="s">
        <v>71</v>
      </c>
      <c r="C28" s="12" t="s">
        <v>67</v>
      </c>
      <c r="D28" s="13" t="n">
        <v>6606290</v>
      </c>
      <c r="E28" s="13" t="n">
        <v>5382190</v>
      </c>
      <c r="F28" s="13" t="n">
        <v>4221000</v>
      </c>
      <c r="G28" s="13" t="n">
        <v>70901</v>
      </c>
      <c r="H28" s="14" t="n">
        <v>1.82</v>
      </c>
      <c r="I28" s="14" t="n">
        <v>1.1</v>
      </c>
      <c r="J28" s="14" t="n">
        <v>3.09</v>
      </c>
      <c r="K28" s="14" t="n">
        <v>39.97</v>
      </c>
    </row>
    <row r="29" customFormat="false" ht="15" hidden="false" customHeight="false" outlineLevel="0" collapsed="false">
      <c r="A29" s="12" t="s">
        <v>72</v>
      </c>
      <c r="B29" s="12" t="s">
        <v>71</v>
      </c>
      <c r="C29" s="12" t="s">
        <v>62</v>
      </c>
      <c r="D29" s="13" t="n">
        <v>830657</v>
      </c>
      <c r="E29" s="13" t="n">
        <v>703846</v>
      </c>
      <c r="F29" s="13" t="n">
        <v>471827</v>
      </c>
      <c r="G29" s="13" t="n">
        <v>336</v>
      </c>
      <c r="H29" s="14" t="n">
        <v>14.21</v>
      </c>
      <c r="I29" s="14" t="n">
        <v>0.04</v>
      </c>
      <c r="J29" s="14" t="n">
        <v>2.59</v>
      </c>
      <c r="K29" s="14" t="n">
        <v>43</v>
      </c>
    </row>
    <row r="30" customFormat="false" ht="15" hidden="false" customHeight="false" outlineLevel="0" collapsed="false">
      <c r="A30" s="12" t="s">
        <v>72</v>
      </c>
      <c r="B30" s="12" t="s">
        <v>71</v>
      </c>
      <c r="C30" s="12" t="s">
        <v>63</v>
      </c>
      <c r="D30" s="13" t="n">
        <v>1262283</v>
      </c>
      <c r="E30" s="13" t="n">
        <v>1106332</v>
      </c>
      <c r="F30" s="13" t="n">
        <v>674230</v>
      </c>
      <c r="G30" s="13" t="n">
        <v>2022</v>
      </c>
      <c r="H30" s="14" t="n">
        <v>14.12</v>
      </c>
      <c r="I30" s="14" t="n">
        <v>0.15</v>
      </c>
      <c r="J30" s="14" t="n">
        <v>3.07</v>
      </c>
      <c r="K30" s="14" t="n">
        <v>45.5</v>
      </c>
    </row>
    <row r="31" customFormat="false" ht="15" hidden="false" customHeight="false" outlineLevel="0" collapsed="false">
      <c r="A31" s="12" t="s">
        <v>72</v>
      </c>
      <c r="B31" s="12" t="s">
        <v>71</v>
      </c>
      <c r="C31" s="12" t="s">
        <v>64</v>
      </c>
      <c r="D31" s="13" t="n">
        <v>1310643</v>
      </c>
      <c r="E31" s="13" t="n">
        <v>1146219</v>
      </c>
      <c r="F31" s="13" t="n">
        <v>728185</v>
      </c>
      <c r="G31" s="13" t="n">
        <v>3457</v>
      </c>
      <c r="H31" s="14" t="n">
        <v>11.78</v>
      </c>
      <c r="I31" s="14" t="n">
        <v>0.26</v>
      </c>
      <c r="J31" s="14" t="n">
        <v>2.71</v>
      </c>
      <c r="K31" s="14" t="n">
        <v>47.4</v>
      </c>
    </row>
    <row r="32" customFormat="false" ht="15" hidden="false" customHeight="false" outlineLevel="0" collapsed="false">
      <c r="A32" s="12" t="s">
        <v>72</v>
      </c>
      <c r="B32" s="12" t="s">
        <v>71</v>
      </c>
      <c r="C32" s="12" t="s">
        <v>65</v>
      </c>
      <c r="D32" s="13" t="n">
        <v>1406018</v>
      </c>
      <c r="E32" s="13" t="n">
        <v>1280815</v>
      </c>
      <c r="F32" s="13" t="n">
        <v>830153</v>
      </c>
      <c r="G32" s="13" t="n">
        <v>2507</v>
      </c>
      <c r="H32" s="14" t="n">
        <v>8.74</v>
      </c>
      <c r="I32" s="14" t="n">
        <v>0.18</v>
      </c>
      <c r="J32" s="14" t="n">
        <v>3.06</v>
      </c>
      <c r="K32" s="14" t="n">
        <v>43</v>
      </c>
    </row>
    <row r="33" customFormat="false" ht="15" hidden="false" customHeight="false" outlineLevel="0" collapsed="false">
      <c r="A33" s="12" t="s">
        <v>72</v>
      </c>
      <c r="B33" s="12" t="s">
        <v>71</v>
      </c>
      <c r="C33" s="12" t="s">
        <v>66</v>
      </c>
      <c r="D33" s="13" t="n">
        <v>1492894</v>
      </c>
      <c r="E33" s="13" t="n">
        <v>1371800</v>
      </c>
      <c r="F33" s="13" t="n">
        <v>934432</v>
      </c>
      <c r="G33" s="13" t="n">
        <v>8245</v>
      </c>
      <c r="H33" s="14" t="n">
        <v>5.73</v>
      </c>
      <c r="I33" s="14" t="n">
        <v>0.55</v>
      </c>
      <c r="J33" s="14" t="n">
        <v>3.09</v>
      </c>
      <c r="K33" s="14" t="n">
        <v>41.1</v>
      </c>
    </row>
    <row r="34" customFormat="false" ht="15" hidden="false" customHeight="false" outlineLevel="0" collapsed="false">
      <c r="A34" s="12" t="s">
        <v>72</v>
      </c>
      <c r="B34" s="12" t="s">
        <v>71</v>
      </c>
      <c r="C34" s="12" t="s">
        <v>67</v>
      </c>
      <c r="D34" s="13" t="n">
        <v>1650000</v>
      </c>
      <c r="E34" s="13" t="n">
        <v>1568000</v>
      </c>
      <c r="F34" s="13" t="n">
        <v>1116000</v>
      </c>
      <c r="G34" s="13" t="n">
        <v>16630</v>
      </c>
      <c r="H34" s="14" t="n">
        <v>3.95</v>
      </c>
      <c r="I34" s="14" t="n">
        <v>1</v>
      </c>
      <c r="J34" s="14" t="n">
        <v>2.93</v>
      </c>
      <c r="K34" s="14" t="n">
        <v>38.8</v>
      </c>
    </row>
    <row r="35" customFormat="false" ht="15" hidden="false" customHeight="false" outlineLevel="0" collapsed="false">
      <c r="A35" s="12" t="s">
        <v>73</v>
      </c>
      <c r="B35" s="12" t="s">
        <v>71</v>
      </c>
      <c r="C35" s="12" t="s">
        <v>62</v>
      </c>
      <c r="D35" s="13" t="n">
        <v>1157915</v>
      </c>
      <c r="E35" s="13" t="n">
        <v>945985</v>
      </c>
      <c r="F35" s="13" t="n">
        <v>690121</v>
      </c>
      <c r="G35" s="13" t="n">
        <v>546</v>
      </c>
      <c r="H35" s="14" t="n">
        <v>9.4</v>
      </c>
      <c r="I35" s="14" t="n">
        <v>0.06</v>
      </c>
      <c r="J35" s="14" t="n">
        <v>2.61</v>
      </c>
      <c r="K35" s="14" t="n">
        <v>38.8</v>
      </c>
    </row>
    <row r="36" customFormat="false" ht="15" hidden="false" customHeight="false" outlineLevel="0" collapsed="false">
      <c r="A36" s="12" t="s">
        <v>73</v>
      </c>
      <c r="B36" s="12" t="s">
        <v>71</v>
      </c>
      <c r="C36" s="12" t="s">
        <v>63</v>
      </c>
      <c r="D36" s="13" t="n">
        <v>1155365</v>
      </c>
      <c r="E36" s="13" t="n">
        <v>966997</v>
      </c>
      <c r="F36" s="13" t="n">
        <v>706300</v>
      </c>
      <c r="G36" s="13" t="n">
        <v>828</v>
      </c>
      <c r="H36" s="14" t="n">
        <v>8.87</v>
      </c>
      <c r="I36" s="14" t="n">
        <v>0.07</v>
      </c>
      <c r="J36" s="14" t="n">
        <v>2.81</v>
      </c>
      <c r="K36" s="14" t="n">
        <v>41.9</v>
      </c>
    </row>
    <row r="37" customFormat="false" ht="15" hidden="false" customHeight="false" outlineLevel="0" collapsed="false">
      <c r="A37" s="12" t="s">
        <v>73</v>
      </c>
      <c r="B37" s="12" t="s">
        <v>71</v>
      </c>
      <c r="C37" s="12" t="s">
        <v>64</v>
      </c>
      <c r="D37" s="13" t="n">
        <v>1277998</v>
      </c>
      <c r="E37" s="13" t="n">
        <v>1045939</v>
      </c>
      <c r="F37" s="13" t="n">
        <v>777008</v>
      </c>
      <c r="G37" s="13" t="n">
        <v>7272</v>
      </c>
      <c r="H37" s="14" t="n">
        <v>6.61</v>
      </c>
      <c r="I37" s="14" t="n">
        <v>0.6</v>
      </c>
      <c r="J37" s="14" t="n">
        <v>3.03</v>
      </c>
      <c r="K37" s="14" t="n">
        <v>42.1</v>
      </c>
    </row>
    <row r="38" customFormat="false" ht="15" hidden="false" customHeight="false" outlineLevel="0" collapsed="false">
      <c r="A38" s="12" t="s">
        <v>73</v>
      </c>
      <c r="B38" s="12" t="s">
        <v>71</v>
      </c>
      <c r="C38" s="12" t="s">
        <v>65</v>
      </c>
      <c r="D38" s="13" t="n">
        <v>1473828</v>
      </c>
      <c r="E38" s="13" t="n">
        <v>1203688</v>
      </c>
      <c r="F38" s="13" t="n">
        <v>940998</v>
      </c>
      <c r="G38" s="13" t="n">
        <v>14110</v>
      </c>
      <c r="H38" s="14" t="n">
        <v>3.79</v>
      </c>
      <c r="I38" s="14" t="n">
        <v>1.03</v>
      </c>
      <c r="J38" s="14" t="n">
        <v>3.31</v>
      </c>
      <c r="K38" s="14" t="n">
        <v>40.3</v>
      </c>
    </row>
    <row r="39" customFormat="false" ht="15" hidden="false" customHeight="false" outlineLevel="0" collapsed="false">
      <c r="A39" s="12" t="s">
        <v>73</v>
      </c>
      <c r="B39" s="12" t="s">
        <v>71</v>
      </c>
      <c r="C39" s="12" t="s">
        <v>66</v>
      </c>
      <c r="D39" s="13" t="n">
        <v>1565835</v>
      </c>
      <c r="E39" s="13" t="n">
        <v>1326958</v>
      </c>
      <c r="F39" s="13" t="n">
        <v>1090608</v>
      </c>
      <c r="G39" s="13" t="n">
        <v>17789</v>
      </c>
      <c r="H39" s="14" t="n">
        <v>2.92</v>
      </c>
      <c r="I39" s="14" t="n">
        <v>1.17</v>
      </c>
      <c r="J39" s="14" t="n">
        <v>3.27</v>
      </c>
      <c r="K39" s="14" t="n">
        <v>39.8</v>
      </c>
    </row>
    <row r="40" customFormat="false" ht="15" hidden="false" customHeight="false" outlineLevel="0" collapsed="false">
      <c r="A40" s="12" t="s">
        <v>73</v>
      </c>
      <c r="B40" s="12" t="s">
        <v>71</v>
      </c>
      <c r="C40" s="12" t="s">
        <v>67</v>
      </c>
      <c r="D40" s="13" t="n">
        <v>1710000</v>
      </c>
      <c r="E40" s="13" t="n">
        <v>1472000</v>
      </c>
      <c r="F40" s="13" t="n">
        <v>1230000</v>
      </c>
      <c r="G40" s="13" t="n">
        <v>20716</v>
      </c>
      <c r="H40" s="14" t="n">
        <v>2.26</v>
      </c>
      <c r="I40" s="14" t="n">
        <v>1.26</v>
      </c>
      <c r="J40" s="14" t="n">
        <v>3.02</v>
      </c>
      <c r="K40" s="14" t="n">
        <v>39.95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6"/>
  </cols>
  <sheetData>
    <row r="1" customFormat="false" ht="19.7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9</v>
      </c>
      <c r="B3" s="3"/>
      <c r="C3" s="3"/>
      <c r="D3" s="3"/>
    </row>
    <row r="4" customFormat="false" ht="15" hidden="false" customHeight="false" outlineLevel="0" collapsed="false">
      <c r="A4" s="4" t="s">
        <v>75</v>
      </c>
      <c r="B4" s="4" t="s">
        <v>61</v>
      </c>
      <c r="C4" s="4" t="s">
        <v>71</v>
      </c>
      <c r="D4" s="4" t="s">
        <v>6</v>
      </c>
    </row>
    <row r="5" customFormat="false" ht="15" hidden="false" customHeight="false" outlineLevel="0" collapsed="false">
      <c r="A5" s="15" t="s">
        <v>62</v>
      </c>
      <c r="B5" s="6" t="n">
        <f aca="false">AVERAGEIFS('Raw Data'!I:I,'Raw Data'!B:B,"Private",'Raw Data'!C:C,"FY20")</f>
        <v>0.966666666666667</v>
      </c>
      <c r="C5" s="6" t="n">
        <f aca="false">AVERAGEIFS('Raw Data'!I:I,'Raw Data'!B:B,"PSU",'Raw Data'!C:C,"FY20")</f>
        <v>0.16</v>
      </c>
      <c r="D5" s="6" t="n">
        <f aca="false">B5-C5</f>
        <v>0.806666666666667</v>
      </c>
    </row>
    <row r="6" customFormat="false" ht="15" hidden="false" customHeight="false" outlineLevel="0" collapsed="false">
      <c r="A6" s="15" t="s">
        <v>63</v>
      </c>
      <c r="B6" s="6" t="n">
        <f aca="false">AVERAGEIFS('Raw Data'!I:I,'Raw Data'!B:B,"Private",'Raw Data'!C:C,"FY21")</f>
        <v>1.36333333333333</v>
      </c>
      <c r="C6" s="6" t="n">
        <f aca="false">AVERAGEIFS('Raw Data'!I:I,'Raw Data'!B:B,"PSU",'Raw Data'!C:C,"FY21")</f>
        <v>0.233333333333333</v>
      </c>
      <c r="D6" s="6" t="n">
        <f aca="false">B6-C6</f>
        <v>1.13</v>
      </c>
    </row>
    <row r="7" customFormat="false" ht="15" hidden="false" customHeight="false" outlineLevel="0" collapsed="false">
      <c r="A7" s="15" t="s">
        <v>64</v>
      </c>
      <c r="B7" s="6" t="n">
        <f aca="false">AVERAGEIFS('Raw Data'!I:I,'Raw Data'!B:B,"Private",'Raw Data'!C:C,"FY22")</f>
        <v>1.69333333333333</v>
      </c>
      <c r="C7" s="6" t="n">
        <f aca="false">AVERAGEIFS('Raw Data'!I:I,'Raw Data'!B:B,"PSU",'Raw Data'!C:C,"FY22")</f>
        <v>0.51</v>
      </c>
      <c r="D7" s="6" t="n">
        <f aca="false">B7-C7</f>
        <v>1.18333333333333</v>
      </c>
    </row>
    <row r="8" customFormat="false" ht="15" hidden="false" customHeight="false" outlineLevel="0" collapsed="false">
      <c r="A8" s="15" t="s">
        <v>65</v>
      </c>
      <c r="B8" s="6" t="n">
        <f aca="false">AVERAGEIFS('Raw Data'!I:I,'Raw Data'!B:B,"Private",'Raw Data'!C:C,"FY23")</f>
        <v>1.67</v>
      </c>
      <c r="C8" s="6" t="n">
        <f aca="false">AVERAGEIFS('Raw Data'!I:I,'Raw Data'!B:B,"PSU",'Raw Data'!C:C,"FY23")</f>
        <v>0.723333333333333</v>
      </c>
      <c r="D8" s="6" t="n">
        <f aca="false">B8-C8</f>
        <v>0.946666666666667</v>
      </c>
    </row>
    <row r="9" customFormat="false" ht="15" hidden="false" customHeight="false" outlineLevel="0" collapsed="false">
      <c r="A9" s="15" t="s">
        <v>66</v>
      </c>
      <c r="B9" s="6" t="n">
        <f aca="false">AVERAGEIFS('Raw Data'!I:I,'Raw Data'!B:B,"Private",'Raw Data'!C:C,"FY24")</f>
        <v>1.93</v>
      </c>
      <c r="C9" s="6" t="n">
        <f aca="false">AVERAGEIFS('Raw Data'!I:I,'Raw Data'!B:B,"PSU",'Raw Data'!C:C,"FY24")</f>
        <v>0.92</v>
      </c>
      <c r="D9" s="6" t="n">
        <f aca="false">B9-C9</f>
        <v>1.01</v>
      </c>
    </row>
    <row r="10" customFormat="false" ht="15" hidden="false" customHeight="false" outlineLevel="0" collapsed="false">
      <c r="A10" s="15" t="s">
        <v>67</v>
      </c>
      <c r="B10" s="6" t="n">
        <f aca="false">AVERAGEIFS('Raw Data'!I:I,'Raw Data'!B:B,"Private",'Raw Data'!C:C,"FY25")</f>
        <v>1.98333333333333</v>
      </c>
      <c r="C10" s="6" t="n">
        <f aca="false">AVERAGEIFS('Raw Data'!I:I,'Raw Data'!B:B,"PSU",'Raw Data'!C:C,"FY25")</f>
        <v>1.12</v>
      </c>
      <c r="D10" s="6" t="n">
        <f aca="false">B10-C10</f>
        <v>0.863333333333333</v>
      </c>
    </row>
    <row r="13" customFormat="false" ht="15" hidden="false" customHeight="false" outlineLevel="0" collapsed="false">
      <c r="A13" s="3" t="s">
        <v>12</v>
      </c>
      <c r="B13" s="3"/>
      <c r="C13" s="3"/>
      <c r="D13" s="3"/>
    </row>
    <row r="14" customFormat="false" ht="15" hidden="false" customHeight="false" outlineLevel="0" collapsed="false">
      <c r="A14" s="4" t="s">
        <v>75</v>
      </c>
      <c r="B14" s="4" t="s">
        <v>61</v>
      </c>
      <c r="C14" s="4" t="s">
        <v>71</v>
      </c>
      <c r="D14" s="4" t="s">
        <v>6</v>
      </c>
    </row>
    <row r="15" customFormat="false" ht="15" hidden="false" customHeight="false" outlineLevel="0" collapsed="false">
      <c r="A15" s="15" t="s">
        <v>62</v>
      </c>
      <c r="B15" s="6" t="n">
        <f aca="false">AVERAGEIFS('Raw Data'!H:H,'Raw Data'!B:B,"Private",'Raw Data'!C:C,"FY20")</f>
        <v>3.88333333333333</v>
      </c>
      <c r="C15" s="6" t="n">
        <f aca="false">AVERAGEIFS('Raw Data'!H:H,'Raw Data'!B:B,"PSU",'Raw Data'!C:C,"FY20")</f>
        <v>9.92</v>
      </c>
      <c r="D15" s="6" t="n">
        <f aca="false">B15-C15</f>
        <v>-6.03666666666667</v>
      </c>
    </row>
    <row r="16" customFormat="false" ht="15" hidden="false" customHeight="false" outlineLevel="0" collapsed="false">
      <c r="A16" s="15" t="s">
        <v>63</v>
      </c>
      <c r="B16" s="6" t="n">
        <f aca="false">AVERAGEIFS('Raw Data'!H:H,'Raw Data'!B:B,"Private",'Raw Data'!C:C,"FY21")</f>
        <v>3.32666666666667</v>
      </c>
      <c r="C16" s="6" t="n">
        <f aca="false">AVERAGEIFS('Raw Data'!H:H,'Raw Data'!B:B,"PSU",'Raw Data'!C:C,"FY21")</f>
        <v>9.32333333333333</v>
      </c>
      <c r="D16" s="6" t="n">
        <f aca="false">B16-C16</f>
        <v>-5.99666666666667</v>
      </c>
    </row>
    <row r="17" customFormat="false" ht="15" hidden="false" customHeight="false" outlineLevel="0" collapsed="false">
      <c r="A17" s="15" t="s">
        <v>64</v>
      </c>
      <c r="B17" s="6" t="n">
        <f aca="false">AVERAGEIFS('Raw Data'!H:H,'Raw Data'!B:B,"Private",'Raw Data'!C:C,"FY22")</f>
        <v>2.53</v>
      </c>
      <c r="C17" s="6" t="n">
        <f aca="false">AVERAGEIFS('Raw Data'!H:H,'Raw Data'!B:B,"PSU",'Raw Data'!C:C,"FY22")</f>
        <v>7.45333333333333</v>
      </c>
      <c r="D17" s="6" t="n">
        <f aca="false">B17-C17</f>
        <v>-4.92333333333333</v>
      </c>
    </row>
    <row r="18" customFormat="false" ht="15" hidden="false" customHeight="false" outlineLevel="0" collapsed="false">
      <c r="A18" s="15" t="s">
        <v>65</v>
      </c>
      <c r="B18" s="6" t="n">
        <f aca="false">AVERAGEIFS('Raw Data'!H:H,'Raw Data'!B:B,"Private",'Raw Data'!C:C,"FY23")</f>
        <v>1.98333333333333</v>
      </c>
      <c r="C18" s="6" t="n">
        <f aca="false">AVERAGEIFS('Raw Data'!H:H,'Raw Data'!B:B,"PSU",'Raw Data'!C:C,"FY23")</f>
        <v>5.10333333333333</v>
      </c>
      <c r="D18" s="6" t="n">
        <f aca="false">B18-C18</f>
        <v>-3.12</v>
      </c>
    </row>
    <row r="19" customFormat="false" ht="15" hidden="false" customHeight="false" outlineLevel="0" collapsed="false">
      <c r="A19" s="15" t="s">
        <v>66</v>
      </c>
      <c r="B19" s="6" t="n">
        <f aca="false">AVERAGEIFS('Raw Data'!H:H,'Raw Data'!B:B,"Private",'Raw Data'!C:C,"FY24")</f>
        <v>1.68</v>
      </c>
      <c r="C19" s="6" t="n">
        <f aca="false">AVERAGEIFS('Raw Data'!H:H,'Raw Data'!B:B,"PSU",'Raw Data'!C:C,"FY24")</f>
        <v>3.63</v>
      </c>
      <c r="D19" s="6" t="n">
        <f aca="false">B19-C19</f>
        <v>-1.95</v>
      </c>
    </row>
    <row r="20" customFormat="false" ht="15" hidden="false" customHeight="false" outlineLevel="0" collapsed="false">
      <c r="A20" s="15" t="s">
        <v>67</v>
      </c>
      <c r="B20" s="6" t="n">
        <f aca="false">AVERAGEIFS('Raw Data'!H:H,'Raw Data'!B:B,"Private",'Raw Data'!C:C,"FY25")</f>
        <v>1.44333333333333</v>
      </c>
      <c r="C20" s="6" t="n">
        <f aca="false">AVERAGEIFS('Raw Data'!H:H,'Raw Data'!B:B,"PSU",'Raw Data'!C:C,"FY25")</f>
        <v>2.67666666666667</v>
      </c>
      <c r="D20" s="6" t="n">
        <f aca="false">B20-C20</f>
        <v>-1.23333333333333</v>
      </c>
    </row>
    <row r="23" customFormat="false" ht="15" hidden="false" customHeight="false" outlineLevel="0" collapsed="false">
      <c r="A23" s="3" t="s">
        <v>15</v>
      </c>
      <c r="B23" s="3"/>
      <c r="C23" s="3"/>
      <c r="D23" s="3"/>
    </row>
    <row r="24" customFormat="false" ht="15" hidden="false" customHeight="false" outlineLevel="0" collapsed="false">
      <c r="A24" s="4" t="s">
        <v>75</v>
      </c>
      <c r="B24" s="4" t="s">
        <v>61</v>
      </c>
      <c r="C24" s="4" t="s">
        <v>71</v>
      </c>
      <c r="D24" s="4" t="s">
        <v>6</v>
      </c>
    </row>
    <row r="25" customFormat="false" ht="15" hidden="false" customHeight="false" outlineLevel="0" collapsed="false">
      <c r="A25" s="15" t="s">
        <v>62</v>
      </c>
      <c r="B25" s="6" t="n">
        <f aca="false">AVERAGEIFS('Raw Data'!J:J,'Raw Data'!B:B,"Private",'Raw Data'!C:C,"FY20")</f>
        <v>3.81333333333333</v>
      </c>
      <c r="C25" s="6" t="n">
        <f aca="false">AVERAGEIFS('Raw Data'!J:J,'Raw Data'!B:B,"PSU",'Raw Data'!C:C,"FY20")</f>
        <v>2.79666666666667</v>
      </c>
      <c r="D25" s="6" t="n">
        <f aca="false">B25-C25</f>
        <v>1.01666666666667</v>
      </c>
    </row>
    <row r="26" customFormat="false" ht="15" hidden="false" customHeight="false" outlineLevel="0" collapsed="false">
      <c r="A26" s="15" t="s">
        <v>63</v>
      </c>
      <c r="B26" s="6" t="n">
        <f aca="false">AVERAGEIFS('Raw Data'!J:J,'Raw Data'!B:B,"Private",'Raw Data'!C:C,"FY21")</f>
        <v>3.77333333333333</v>
      </c>
      <c r="C26" s="6" t="n">
        <f aca="false">AVERAGEIFS('Raw Data'!J:J,'Raw Data'!B:B,"PSU",'Raw Data'!C:C,"FY21")</f>
        <v>2.99666666666667</v>
      </c>
      <c r="D26" s="6" t="n">
        <f aca="false">B26-C26</f>
        <v>0.776666666666667</v>
      </c>
    </row>
    <row r="27" customFormat="false" ht="15" hidden="false" customHeight="false" outlineLevel="0" collapsed="false">
      <c r="A27" s="15" t="s">
        <v>64</v>
      </c>
      <c r="B27" s="6" t="n">
        <f aca="false">AVERAGEIFS('Raw Data'!J:J,'Raw Data'!B:B,"Private",'Raw Data'!C:C,"FY22")</f>
        <v>3.81</v>
      </c>
      <c r="C27" s="6" t="n">
        <f aca="false">AVERAGEIFS('Raw Data'!J:J,'Raw Data'!B:B,"PSU",'Raw Data'!C:C,"FY22")</f>
        <v>2.95333333333333</v>
      </c>
      <c r="D27" s="6" t="n">
        <f aca="false">B27-C27</f>
        <v>0.856666666666667</v>
      </c>
    </row>
    <row r="28" customFormat="false" ht="15" hidden="false" customHeight="false" outlineLevel="0" collapsed="false">
      <c r="A28" s="15" t="s">
        <v>65</v>
      </c>
      <c r="B28" s="6" t="n">
        <f aca="false">AVERAGEIFS('Raw Data'!J:J,'Raw Data'!B:B,"Private",'Raw Data'!C:C,"FY23")</f>
        <v>4.2</v>
      </c>
      <c r="C28" s="6" t="n">
        <f aca="false">AVERAGEIFS('Raw Data'!J:J,'Raw Data'!B:B,"PSU",'Raw Data'!C:C,"FY23")</f>
        <v>3.24666666666667</v>
      </c>
      <c r="D28" s="6" t="n">
        <f aca="false">B28-C28</f>
        <v>0.953333333333334</v>
      </c>
    </row>
    <row r="29" customFormat="false" ht="15" hidden="false" customHeight="false" outlineLevel="0" collapsed="false">
      <c r="A29" s="15" t="s">
        <v>66</v>
      </c>
      <c r="B29" s="6" t="n">
        <f aca="false">AVERAGEIFS('Raw Data'!J:J,'Raw Data'!B:B,"Private",'Raw Data'!C:C,"FY24")</f>
        <v>3.86666666666667</v>
      </c>
      <c r="C29" s="6" t="n">
        <f aca="false">AVERAGEIFS('Raw Data'!J:J,'Raw Data'!B:B,"PSU",'Raw Data'!C:C,"FY24")</f>
        <v>3.21333333333333</v>
      </c>
      <c r="D29" s="6" t="n">
        <f aca="false">B29-C29</f>
        <v>0.653333333333333</v>
      </c>
    </row>
    <row r="30" customFormat="false" ht="15" hidden="false" customHeight="false" outlineLevel="0" collapsed="false">
      <c r="A30" s="15" t="s">
        <v>67</v>
      </c>
      <c r="B30" s="6" t="n">
        <f aca="false">AVERAGEIFS('Raw Data'!J:J,'Raw Data'!B:B,"Private",'Raw Data'!C:C,"FY25")</f>
        <v>4.09333333333333</v>
      </c>
      <c r="C30" s="6" t="n">
        <f aca="false">AVERAGEIFS('Raw Data'!J:J,'Raw Data'!B:B,"PSU",'Raw Data'!C:C,"FY25")</f>
        <v>3.01333333333333</v>
      </c>
      <c r="D30" s="6" t="n">
        <f aca="false">B30-C30</f>
        <v>1.08</v>
      </c>
    </row>
    <row r="33" customFormat="false" ht="15" hidden="false" customHeight="false" outlineLevel="0" collapsed="false">
      <c r="A33" s="3" t="s">
        <v>18</v>
      </c>
      <c r="B33" s="3"/>
      <c r="C33" s="3"/>
      <c r="D33" s="3"/>
    </row>
    <row r="34" customFormat="false" ht="15" hidden="false" customHeight="false" outlineLevel="0" collapsed="false">
      <c r="A34" s="4" t="s">
        <v>75</v>
      </c>
      <c r="B34" s="4" t="s">
        <v>61</v>
      </c>
      <c r="C34" s="4" t="s">
        <v>71</v>
      </c>
      <c r="D34" s="4" t="s">
        <v>6</v>
      </c>
    </row>
    <row r="35" customFormat="false" ht="15" hidden="false" customHeight="false" outlineLevel="0" collapsed="false">
      <c r="A35" s="15" t="s">
        <v>62</v>
      </c>
      <c r="B35" s="6" t="n">
        <f aca="false">AVERAGEIFS('Raw Data'!K:K,'Raw Data'!B:B,"Private",'Raw Data'!C:C,"FY20")</f>
        <v>42.8333333333333</v>
      </c>
      <c r="C35" s="6" t="n">
        <f aca="false">AVERAGEIFS('Raw Data'!K:K,'Raw Data'!B:B,"PSU",'Raw Data'!C:C,"FY20")</f>
        <v>42.3333333333333</v>
      </c>
      <c r="D35" s="6" t="n">
        <f aca="false">B35-C35</f>
        <v>0.5</v>
      </c>
    </row>
    <row r="36" customFormat="false" ht="15" hidden="false" customHeight="false" outlineLevel="0" collapsed="false">
      <c r="A36" s="15" t="s">
        <v>63</v>
      </c>
      <c r="B36" s="6" t="n">
        <f aca="false">AVERAGEIFS('Raw Data'!K:K,'Raw Data'!B:B,"Private",'Raw Data'!C:C,"FY21")</f>
        <v>45.8</v>
      </c>
      <c r="C36" s="6" t="n">
        <f aca="false">AVERAGEIFS('Raw Data'!K:K,'Raw Data'!B:B,"PSU",'Raw Data'!C:C,"FY21")</f>
        <v>44.5</v>
      </c>
      <c r="D36" s="6" t="n">
        <f aca="false">B36-C36</f>
        <v>1.3</v>
      </c>
    </row>
    <row r="37" customFormat="false" ht="15" hidden="false" customHeight="false" outlineLevel="0" collapsed="false">
      <c r="A37" s="15" t="s">
        <v>64</v>
      </c>
      <c r="B37" s="6" t="n">
        <f aca="false">AVERAGEIFS('Raw Data'!K:K,'Raw Data'!B:B,"Private",'Raw Data'!C:C,"FY22")</f>
        <v>47.3666666666667</v>
      </c>
      <c r="C37" s="6" t="n">
        <f aca="false">AVERAGEIFS('Raw Data'!K:K,'Raw Data'!B:B,"PSU",'Raw Data'!C:C,"FY22")</f>
        <v>44.9333333333333</v>
      </c>
      <c r="D37" s="6" t="n">
        <f aca="false">B37-C37</f>
        <v>2.43333333333333</v>
      </c>
    </row>
    <row r="38" customFormat="false" ht="15" hidden="false" customHeight="false" outlineLevel="0" collapsed="false">
      <c r="A38" s="15" t="s">
        <v>65</v>
      </c>
      <c r="B38" s="6" t="n">
        <f aca="false">AVERAGEIFS('Raw Data'!K:K,'Raw Data'!B:B,"Private",'Raw Data'!C:C,"FY23")</f>
        <v>45.7333333333333</v>
      </c>
      <c r="C38" s="6" t="n">
        <f aca="false">AVERAGEIFS('Raw Data'!K:K,'Raw Data'!B:B,"PSU",'Raw Data'!C:C,"FY23")</f>
        <v>42.3666666666667</v>
      </c>
      <c r="D38" s="6" t="n">
        <f aca="false">B38-C38</f>
        <v>3.36666666666666</v>
      </c>
    </row>
    <row r="39" customFormat="false" ht="15" hidden="false" customHeight="false" outlineLevel="0" collapsed="false">
      <c r="A39" s="15" t="s">
        <v>66</v>
      </c>
      <c r="B39" s="6" t="n">
        <f aca="false">AVERAGEIFS('Raw Data'!K:K,'Raw Data'!B:B,"Private",'Raw Data'!C:C,"FY24")</f>
        <v>40.7333333333333</v>
      </c>
      <c r="C39" s="6" t="n">
        <f aca="false">AVERAGEIFS('Raw Data'!K:K,'Raw Data'!B:B,"PSU",'Raw Data'!C:C,"FY24")</f>
        <v>40.6666666666667</v>
      </c>
      <c r="D39" s="6" t="n">
        <f aca="false">B39-C39</f>
        <v>0.06666666666667</v>
      </c>
    </row>
    <row r="40" customFormat="false" ht="15" hidden="false" customHeight="false" outlineLevel="0" collapsed="false">
      <c r="A40" s="15" t="s">
        <v>67</v>
      </c>
      <c r="B40" s="6" t="n">
        <f aca="false">AVERAGEIFS('Raw Data'!K:K,'Raw Data'!B:B,"Private",'Raw Data'!C:C,"FY25")</f>
        <v>38.1</v>
      </c>
      <c r="C40" s="6" t="n">
        <f aca="false">AVERAGEIFS('Raw Data'!K:K,'Raw Data'!B:B,"PSU",'Raw Data'!C:C,"FY25")</f>
        <v>39.5733333333333</v>
      </c>
      <c r="D40" s="6" t="n">
        <f aca="false">B40-C40</f>
        <v>-1.47333333333333</v>
      </c>
    </row>
  </sheetData>
  <mergeCells count="5">
    <mergeCell ref="A1:H1"/>
    <mergeCell ref="A3:D3"/>
    <mergeCell ref="A13:D13"/>
    <mergeCell ref="A23:D23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2"/>
  </cols>
  <sheetData>
    <row r="1" customFormat="false" ht="19.7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9</v>
      </c>
      <c r="G3" s="4" t="s">
        <v>12</v>
      </c>
      <c r="H3" s="4" t="s">
        <v>15</v>
      </c>
      <c r="I3" s="4" t="s">
        <v>18</v>
      </c>
    </row>
    <row r="4" customFormat="false" ht="15" hidden="false" customHeight="false" outlineLevel="0" collapsed="false">
      <c r="A4" s="16" t="n">
        <v>1</v>
      </c>
      <c r="B4" s="9" t="s">
        <v>69</v>
      </c>
      <c r="C4" s="16" t="s">
        <v>61</v>
      </c>
      <c r="D4" s="10" t="n">
        <v>1610327</v>
      </c>
      <c r="E4" s="10" t="n">
        <v>28055</v>
      </c>
      <c r="F4" s="11" t="n">
        <v>1.88</v>
      </c>
      <c r="G4" s="11" t="n">
        <v>1.3</v>
      </c>
      <c r="H4" s="11" t="n">
        <v>3.98</v>
      </c>
      <c r="I4" s="11" t="n">
        <v>41</v>
      </c>
    </row>
    <row r="5" customFormat="false" ht="15" hidden="false" customHeight="false" outlineLevel="0" collapsed="false">
      <c r="A5" s="16" t="n">
        <v>2</v>
      </c>
      <c r="B5" s="9" t="s">
        <v>68</v>
      </c>
      <c r="C5" s="16" t="s">
        <v>61</v>
      </c>
      <c r="D5" s="10" t="n">
        <v>1918233</v>
      </c>
      <c r="E5" s="10" t="n">
        <v>47227</v>
      </c>
      <c r="F5" s="11" t="n">
        <v>2.46</v>
      </c>
      <c r="G5" s="11" t="n">
        <v>1.7</v>
      </c>
      <c r="H5" s="11" t="n">
        <v>4.4</v>
      </c>
      <c r="I5" s="11" t="n">
        <v>38.4</v>
      </c>
    </row>
    <row r="6" customFormat="false" ht="15" hidden="false" customHeight="false" outlineLevel="0" collapsed="false">
      <c r="A6" s="16" t="n">
        <v>3</v>
      </c>
      <c r="B6" s="9" t="s">
        <v>60</v>
      </c>
      <c r="C6" s="16" t="s">
        <v>61</v>
      </c>
      <c r="D6" s="10" t="n">
        <v>4392420</v>
      </c>
      <c r="E6" s="10" t="n">
        <v>70792</v>
      </c>
      <c r="F6" s="11" t="n">
        <v>1.61</v>
      </c>
      <c r="G6" s="11" t="n">
        <v>1.33</v>
      </c>
      <c r="H6" s="11" t="n">
        <v>3.9</v>
      </c>
      <c r="I6" s="11" t="n">
        <v>34.9</v>
      </c>
    </row>
    <row r="7" customFormat="false" ht="15" hidden="false" customHeight="false" outlineLevel="0" collapsed="false">
      <c r="A7" s="17" t="n">
        <v>3</v>
      </c>
      <c r="B7" s="12" t="s">
        <v>70</v>
      </c>
      <c r="C7" s="17" t="s">
        <v>71</v>
      </c>
      <c r="D7" s="13" t="n">
        <v>6606290</v>
      </c>
      <c r="E7" s="13" t="n">
        <v>70901</v>
      </c>
      <c r="F7" s="14" t="n">
        <v>1.1</v>
      </c>
      <c r="G7" s="14" t="n">
        <v>1.82</v>
      </c>
      <c r="H7" s="14" t="n">
        <v>3.09</v>
      </c>
      <c r="I7" s="14" t="n">
        <v>39.97</v>
      </c>
    </row>
    <row r="8" customFormat="false" ht="15" hidden="false" customHeight="false" outlineLevel="0" collapsed="false">
      <c r="A8" s="17" t="n">
        <v>5</v>
      </c>
      <c r="B8" s="12" t="s">
        <v>73</v>
      </c>
      <c r="C8" s="17" t="s">
        <v>71</v>
      </c>
      <c r="D8" s="13" t="n">
        <v>1710000</v>
      </c>
      <c r="E8" s="13" t="n">
        <v>20716</v>
      </c>
      <c r="F8" s="14" t="n">
        <v>1.26</v>
      </c>
      <c r="G8" s="14" t="n">
        <v>2.26</v>
      </c>
      <c r="H8" s="14" t="n">
        <v>3.02</v>
      </c>
      <c r="I8" s="14" t="n">
        <v>39.95</v>
      </c>
    </row>
    <row r="9" customFormat="false" ht="15" hidden="false" customHeight="false" outlineLevel="0" collapsed="false">
      <c r="A9" s="17" t="n">
        <v>6</v>
      </c>
      <c r="B9" s="12" t="s">
        <v>72</v>
      </c>
      <c r="C9" s="17" t="s">
        <v>71</v>
      </c>
      <c r="D9" s="13" t="n">
        <v>1650000</v>
      </c>
      <c r="E9" s="13" t="n">
        <v>16630</v>
      </c>
      <c r="F9" s="14" t="n">
        <v>1</v>
      </c>
      <c r="G9" s="14" t="n">
        <v>3.95</v>
      </c>
      <c r="H9" s="14" t="n">
        <v>2.93</v>
      </c>
      <c r="I9" s="14" t="n">
        <v>38.8</v>
      </c>
    </row>
    <row r="11" customFormat="false" ht="15" hidden="false" customHeight="false" outlineLevel="0" collapsed="false">
      <c r="A11" s="2" t="s">
        <v>82</v>
      </c>
      <c r="B11" s="2"/>
      <c r="C11" s="2"/>
      <c r="D11" s="2"/>
      <c r="E11" s="2"/>
      <c r="F11" s="2"/>
      <c r="G11" s="2"/>
      <c r="H11" s="2"/>
      <c r="I11" s="2"/>
    </row>
  </sheetData>
  <mergeCells count="2">
    <mergeCell ref="A1:I1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2026-05-23T00:37:50Z</dcterms:created>
  <dc:creator>openpyxl</dc:creator>
  <dc:description/>
  <dc:language>en-US</dc:language>
  <cp:lastModifiedBy/>
  <dcterms:modified xsi:type="dcterms:W3CDTF">2026-05-23T00:37:50Z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